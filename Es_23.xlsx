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Documents\Repository\GPOI\"/>
    </mc:Choice>
  </mc:AlternateContent>
  <xr:revisionPtr revIDLastSave="0" documentId="8_{892A927D-F48E-4369-A8CD-77B66355B274}" xr6:coauthVersionLast="47" xr6:coauthVersionMax="47" xr10:uidLastSave="{00000000-0000-0000-0000-000000000000}"/>
  <bookViews>
    <workbookView xWindow="-108" yWindow="-108" windowWidth="23256" windowHeight="12456" xr2:uid="{F54E43B1-4FDD-4147-AE14-AB80B988744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5" i="1" l="1"/>
  <c r="D23" i="1"/>
  <c r="D21" i="1"/>
  <c r="E21" i="1"/>
  <c r="F21" i="1"/>
  <c r="G21" i="1"/>
  <c r="C21" i="1"/>
  <c r="B21" i="1"/>
  <c r="J19" i="1"/>
  <c r="K17" i="1"/>
  <c r="J17" i="1"/>
  <c r="C17" i="1"/>
  <c r="D17" i="1"/>
  <c r="E17" i="1"/>
  <c r="F17" i="1"/>
  <c r="G17" i="1"/>
  <c r="B17" i="1"/>
</calcChain>
</file>

<file path=xl/sharedStrings.xml><?xml version="1.0" encoding="utf-8"?>
<sst xmlns="http://schemas.openxmlformats.org/spreadsheetml/2006/main" count="19" uniqueCount="16">
  <si>
    <t>DATI</t>
  </si>
  <si>
    <t>Investimento Iniziale I</t>
  </si>
  <si>
    <t>&gt;</t>
  </si>
  <si>
    <t>Tempo investimento</t>
  </si>
  <si>
    <t>Ricavo annuale previsto</t>
  </si>
  <si>
    <t>ROI previsto</t>
  </si>
  <si>
    <t>SVOLGIMENTO</t>
  </si>
  <si>
    <t>Abbiamo un investimento iniziale di:</t>
  </si>
  <si>
    <t>Abbiamo:</t>
  </si>
  <si>
    <t>anni</t>
  </si>
  <si>
    <t>Ricavo annuale</t>
  </si>
  <si>
    <t>VAN</t>
  </si>
  <si>
    <t>TIR</t>
  </si>
  <si>
    <t>Profitto annuale</t>
  </si>
  <si>
    <t>Anno per ricavare l'investimento iniziale</t>
  </si>
  <si>
    <t xml:space="preserve">Payback period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</si>
</sst>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/>
    <xf numFmtId="0" fontId="0" fillId="0" borderId="0" xfId="0" applyAlignment="1">
      <alignment horizontal="center"/>
    </xf>
    <xf numFmtId="44" fontId="0" fillId="0" borderId="0" xfId="1" applyFont="1"/>
    <xf numFmtId="9" fontId="0" fillId="0" borderId="0" xfId="0" applyNumberFormat="1"/>
    <xf numFmtId="0" fontId="2" fillId="0" borderId="0" xfId="0" applyFont="1"/>
    <xf numFmtId="6" fontId="0" fillId="0" borderId="0" xfId="0" applyNumberFormat="1"/>
    <xf numFmtId="0" fontId="0" fillId="0" borderId="0" xfId="0" applyNumberFormat="1"/>
    <xf numFmtId="0" fontId="0" fillId="0" borderId="0" xfId="1" applyNumberFormat="1" applyFont="1"/>
    <xf numFmtId="44" fontId="2" fillId="0" borderId="0" xfId="0" applyNumberFormat="1" applyFont="1"/>
    <xf numFmtId="6" fontId="2" fillId="0" borderId="0" xfId="0" applyNumberFormat="1" applyFont="1"/>
    <xf numFmtId="10" fontId="2" fillId="0" borderId="0" xfId="0" applyNumberFormat="1" applyFont="1"/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FCB9C-8F66-4A0D-BDAA-A876D286C603}">
  <dimension ref="A1:K25"/>
  <sheetViews>
    <sheetView tabSelected="1" workbookViewId="0">
      <selection activeCell="E9" sqref="E9"/>
    </sheetView>
  </sheetViews>
  <sheetFormatPr defaultRowHeight="14.4" x14ac:dyDescent="0.3"/>
  <cols>
    <col min="1" max="1" width="14.77734375" customWidth="1"/>
    <col min="2" max="2" width="10.6640625" customWidth="1"/>
    <col min="3" max="3" width="10.77734375" bestFit="1" customWidth="1"/>
    <col min="4" max="4" width="10.88671875" bestFit="1" customWidth="1"/>
    <col min="5" max="7" width="10.77734375" bestFit="1" customWidth="1"/>
    <col min="10" max="10" width="10.77734375" bestFit="1" customWidth="1"/>
  </cols>
  <sheetData>
    <row r="1" spans="1:9" x14ac:dyDescent="0.3">
      <c r="A1" s="1" t="s">
        <v>0</v>
      </c>
    </row>
    <row r="2" spans="1:9" x14ac:dyDescent="0.3">
      <c r="A2" t="s">
        <v>1</v>
      </c>
      <c r="C2" s="2" t="s">
        <v>2</v>
      </c>
      <c r="D2" s="3">
        <v>5020</v>
      </c>
    </row>
    <row r="3" spans="1:9" x14ac:dyDescent="0.3">
      <c r="A3" t="s">
        <v>3</v>
      </c>
      <c r="C3" s="2" t="s">
        <v>2</v>
      </c>
      <c r="D3">
        <v>6</v>
      </c>
    </row>
    <row r="4" spans="1:9" x14ac:dyDescent="0.3">
      <c r="A4" t="s">
        <v>4</v>
      </c>
      <c r="C4" s="2" t="s">
        <v>2</v>
      </c>
      <c r="D4" s="3">
        <v>2000</v>
      </c>
    </row>
    <row r="5" spans="1:9" x14ac:dyDescent="0.3">
      <c r="A5" t="s">
        <v>5</v>
      </c>
      <c r="C5" s="2" t="s">
        <v>2</v>
      </c>
      <c r="D5" s="4">
        <v>0.2</v>
      </c>
    </row>
    <row r="7" spans="1:9" x14ac:dyDescent="0.3">
      <c r="A7" s="1" t="s">
        <v>6</v>
      </c>
    </row>
    <row r="8" spans="1:9" x14ac:dyDescent="0.3">
      <c r="A8" t="s">
        <v>7</v>
      </c>
    </row>
    <row r="9" spans="1:9" x14ac:dyDescent="0.3">
      <c r="A9" s="6">
        <v>5020</v>
      </c>
    </row>
    <row r="11" spans="1:9" x14ac:dyDescent="0.3">
      <c r="A11" t="s">
        <v>8</v>
      </c>
    </row>
    <row r="13" spans="1:9" x14ac:dyDescent="0.3">
      <c r="A13" s="7">
        <v>0</v>
      </c>
      <c r="B13" s="7">
        <v>1</v>
      </c>
      <c r="C13" s="7">
        <v>2</v>
      </c>
      <c r="D13" s="7">
        <v>3</v>
      </c>
      <c r="E13" s="7">
        <v>4</v>
      </c>
      <c r="F13" s="7">
        <v>5</v>
      </c>
      <c r="G13" s="7">
        <v>6</v>
      </c>
      <c r="I13" t="s">
        <v>9</v>
      </c>
    </row>
    <row r="14" spans="1:9" x14ac:dyDescent="0.3">
      <c r="A14" s="7"/>
      <c r="B14" s="8"/>
      <c r="C14" s="7"/>
      <c r="D14" s="7"/>
      <c r="E14" s="7"/>
      <c r="F14" s="7"/>
      <c r="G14" s="7"/>
    </row>
    <row r="15" spans="1:9" x14ac:dyDescent="0.3">
      <c r="A15" s="8">
        <v>-5020</v>
      </c>
      <c r="B15" s="8">
        <v>2000</v>
      </c>
      <c r="C15" s="8">
        <v>2000</v>
      </c>
      <c r="D15" s="8">
        <v>2000</v>
      </c>
      <c r="E15" s="8">
        <v>2000</v>
      </c>
      <c r="F15" s="8">
        <v>2000</v>
      </c>
      <c r="G15" s="8">
        <v>2000</v>
      </c>
      <c r="I15" t="s">
        <v>10</v>
      </c>
    </row>
    <row r="17" spans="1:11" x14ac:dyDescent="0.3">
      <c r="B17" s="3">
        <f xml:space="preserve"> B15 / (1 + 0.2)^B13</f>
        <v>1666.6666666666667</v>
      </c>
      <c r="C17" s="3">
        <f xml:space="preserve"> C15 / (1 + 0.2)^C13</f>
        <v>1388.8888888888889</v>
      </c>
      <c r="D17" s="3">
        <f xml:space="preserve"> D15 / (1 + 0.2)^D13</f>
        <v>1157.4074074074074</v>
      </c>
      <c r="E17" s="3">
        <f xml:space="preserve"> E15 / (1 + 0.2)^E13</f>
        <v>964.50617283950623</v>
      </c>
      <c r="F17" s="3">
        <f xml:space="preserve"> F15 / (1 + 0.2)^F13</f>
        <v>803.75514403292186</v>
      </c>
      <c r="G17" s="3">
        <f xml:space="preserve"> G15 / (1 + 0.2)^G13</f>
        <v>669.79595336076818</v>
      </c>
      <c r="I17" t="s">
        <v>11</v>
      </c>
      <c r="J17" s="9">
        <f xml:space="preserve"> -A9 + B17 + C17 + D17 + E17 + F17 + G17</f>
        <v>1631.0202331961596</v>
      </c>
      <c r="K17" s="10">
        <f xml:space="preserve"> NPV(D5, D4, D4, D4, D4, D4, D4) + A15</f>
        <v>1631.02023319616</v>
      </c>
    </row>
    <row r="18" spans="1:11" x14ac:dyDescent="0.3">
      <c r="B18" s="3"/>
    </row>
    <row r="19" spans="1:11" x14ac:dyDescent="0.3">
      <c r="A19">
        <v>-5020</v>
      </c>
      <c r="B19" s="8">
        <v>2000</v>
      </c>
      <c r="C19" s="8">
        <v>2000</v>
      </c>
      <c r="D19" s="8">
        <v>2000</v>
      </c>
      <c r="E19" s="8">
        <v>2000</v>
      </c>
      <c r="F19" s="8">
        <v>2000</v>
      </c>
      <c r="G19" s="8">
        <v>2000</v>
      </c>
      <c r="I19" t="s">
        <v>12</v>
      </c>
      <c r="J19" s="11">
        <f>IRR(A15:G15)</f>
        <v>0.32467043517417205</v>
      </c>
    </row>
    <row r="21" spans="1:11" x14ac:dyDescent="0.3">
      <c r="B21">
        <f xml:space="preserve"> B19 + $A$19</f>
        <v>-3020</v>
      </c>
      <c r="C21">
        <f xml:space="preserve"> B21 + C19</f>
        <v>-1020</v>
      </c>
      <c r="D21">
        <f t="shared" ref="D21:G21" si="0" xml:space="preserve"> C21 + D19</f>
        <v>980</v>
      </c>
      <c r="E21">
        <f t="shared" si="0"/>
        <v>2980</v>
      </c>
      <c r="F21">
        <f t="shared" si="0"/>
        <v>4980</v>
      </c>
      <c r="G21">
        <f t="shared" si="0"/>
        <v>6980</v>
      </c>
      <c r="I21" t="s">
        <v>13</v>
      </c>
    </row>
    <row r="23" spans="1:11" x14ac:dyDescent="0.3">
      <c r="B23">
        <v>1</v>
      </c>
      <c r="C23">
        <v>1</v>
      </c>
      <c r="D23">
        <f xml:space="preserve"> D21 /D19</f>
        <v>0.49</v>
      </c>
      <c r="I23" t="s">
        <v>14</v>
      </c>
    </row>
    <row r="25" spans="1:11" x14ac:dyDescent="0.3">
      <c r="A25" s="5" t="s">
        <v>15</v>
      </c>
      <c r="B25">
        <f xml:space="preserve"> SUM(B23:D23)</f>
        <v>2.4900000000000002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napolitano</dc:creator>
  <cp:lastModifiedBy>simone napolitano</cp:lastModifiedBy>
  <dcterms:created xsi:type="dcterms:W3CDTF">2026-10-29T11:45:12Z</dcterms:created>
  <dcterms:modified xsi:type="dcterms:W3CDTF">2026-10-29T12:24:18Z</dcterms:modified>
</cp:coreProperties>
</file>