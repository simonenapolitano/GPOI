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Repository\GPOI\"/>
    </mc:Choice>
  </mc:AlternateContent>
  <xr:revisionPtr revIDLastSave="0" documentId="8_{4ACFC11C-AF88-417A-90A6-5E618235D981}" xr6:coauthVersionLast="47" xr6:coauthVersionMax="47" xr10:uidLastSave="{00000000-0000-0000-0000-000000000000}"/>
  <bookViews>
    <workbookView xWindow="-108" yWindow="-108" windowWidth="23256" windowHeight="12456" xr2:uid="{E2B665CC-BBEE-4B5B-9C0F-D4FCF85D26D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0" i="1" l="1"/>
  <c r="G21" i="1"/>
  <c r="G22" i="1"/>
  <c r="G23" i="1"/>
  <c r="G24" i="1"/>
  <c r="G19" i="1"/>
  <c r="H19" i="1"/>
  <c r="H20" i="1"/>
  <c r="H21" i="1"/>
  <c r="H22" i="1"/>
  <c r="H23" i="1"/>
  <c r="H24" i="1"/>
  <c r="H18" i="1"/>
  <c r="F20" i="1"/>
  <c r="F21" i="1"/>
  <c r="F22" i="1"/>
  <c r="F23" i="1"/>
  <c r="F24" i="1"/>
  <c r="F19" i="1"/>
  <c r="E20" i="1"/>
  <c r="E21" i="1"/>
  <c r="E22" i="1"/>
  <c r="E23" i="1"/>
  <c r="E24" i="1"/>
  <c r="E19" i="1"/>
  <c r="D19" i="1"/>
  <c r="D20" i="1"/>
  <c r="D21" i="1"/>
  <c r="D22" i="1"/>
  <c r="D23" i="1"/>
  <c r="D24" i="1"/>
  <c r="C19" i="1"/>
  <c r="C20" i="1"/>
  <c r="C21" i="1"/>
  <c r="C22" i="1"/>
  <c r="C23" i="1"/>
  <c r="C24" i="1"/>
  <c r="C18" i="1"/>
</calcChain>
</file>

<file path=xl/sharedStrings.xml><?xml version="1.0" encoding="utf-8"?>
<sst xmlns="http://schemas.openxmlformats.org/spreadsheetml/2006/main" count="19" uniqueCount="17">
  <si>
    <t>DATI</t>
  </si>
  <si>
    <t>Quantità</t>
  </si>
  <si>
    <t>Costi</t>
  </si>
  <si>
    <t>SVOLGIMENTO</t>
  </si>
  <si>
    <t>La consegna ci da la seguente tabella:</t>
  </si>
  <si>
    <t>E sappiamo che la curva dei ricavi è descritta dall'equazione R = 15q</t>
  </si>
  <si>
    <t>Ricaviamo la tabella completa con costi, ricavi, ricavi marginali e costi marginali:</t>
  </si>
  <si>
    <t>-</t>
  </si>
  <si>
    <t>C</t>
  </si>
  <si>
    <t>q</t>
  </si>
  <si>
    <t>R</t>
  </si>
  <si>
    <t>Rm</t>
  </si>
  <si>
    <t>Cm</t>
  </si>
  <si>
    <t>Rm - Cm</t>
  </si>
  <si>
    <t>Decisione</t>
  </si>
  <si>
    <t>P</t>
  </si>
  <si>
    <t>Aumentare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</si>
</sst>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0" xfId="0" applyFont="1" applyFill="1"/>
    <xf numFmtId="0" fontId="0" fillId="0" borderId="1" xfId="0" applyBorder="1"/>
    <xf numFmtId="0" fontId="0" fillId="0" borderId="0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Ricavi / Costi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Ricavi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Foglio1!$A$18:$A$24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Foglio1!$C$18:$C$24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B8-4C50-B5F6-B09640A67B83}"/>
            </c:ext>
          </c:extLst>
        </c:ser>
        <c:ser>
          <c:idx val="1"/>
          <c:order val="1"/>
          <c:tx>
            <c:v>Costi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Foglio1!$A$18:$A$24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Foglio1!$B$18:$B$24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32</c:v>
                </c:pt>
                <c:pt idx="3">
                  <c:v>35</c:v>
                </c:pt>
                <c:pt idx="4">
                  <c:v>43</c:v>
                </c:pt>
                <c:pt idx="5">
                  <c:v>58</c:v>
                </c:pt>
                <c:pt idx="6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B8-4C50-B5F6-B09640A67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835312"/>
        <c:axId val="439513712"/>
      </c:scatterChart>
      <c:valAx>
        <c:axId val="43683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9513712"/>
        <c:crosses val="autoZero"/>
        <c:crossBetween val="midCat"/>
      </c:valAx>
      <c:valAx>
        <c:axId val="4395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6835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9</xdr:row>
      <xdr:rowOff>156210</xdr:rowOff>
    </xdr:from>
    <xdr:to>
      <xdr:col>16</xdr:col>
      <xdr:colOff>495300</xdr:colOff>
      <xdr:row>24</xdr:row>
      <xdr:rowOff>156210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44BE7AA-8474-046B-3FFE-46295F1AA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5DB2-0E7F-4C5A-B3EA-8507DE688A00}">
  <dimension ref="A1:H25"/>
  <sheetViews>
    <sheetView tabSelected="1" workbookViewId="0">
      <selection activeCell="N8" sqref="N8"/>
    </sheetView>
  </sheetViews>
  <sheetFormatPr defaultRowHeight="14.4" x14ac:dyDescent="0.3"/>
  <cols>
    <col min="1" max="1" width="13.44140625" bestFit="1" customWidth="1"/>
    <col min="4" max="4" width="7.6640625" customWidth="1"/>
    <col min="5" max="5" width="6.77734375" customWidth="1"/>
    <col min="7" max="7" width="9.88671875" bestFit="1" customWidth="1"/>
  </cols>
  <sheetData>
    <row r="1" spans="1:4" x14ac:dyDescent="0.3">
      <c r="A1" s="1" t="s">
        <v>0</v>
      </c>
    </row>
    <row r="2" spans="1:4" x14ac:dyDescent="0.3">
      <c r="A2" t="s">
        <v>4</v>
      </c>
    </row>
    <row r="4" spans="1:4" x14ac:dyDescent="0.3">
      <c r="A4" s="4" t="s">
        <v>1</v>
      </c>
      <c r="B4" s="4" t="s">
        <v>2</v>
      </c>
      <c r="D4" t="s">
        <v>5</v>
      </c>
    </row>
    <row r="5" spans="1:4" x14ac:dyDescent="0.3">
      <c r="A5" s="5">
        <v>0</v>
      </c>
      <c r="B5" s="2">
        <v>30</v>
      </c>
    </row>
    <row r="6" spans="1:4" x14ac:dyDescent="0.3">
      <c r="A6" s="5">
        <v>1</v>
      </c>
      <c r="B6" s="2">
        <v>30</v>
      </c>
    </row>
    <row r="7" spans="1:4" x14ac:dyDescent="0.3">
      <c r="A7" s="5">
        <v>2</v>
      </c>
      <c r="B7" s="2">
        <v>32</v>
      </c>
    </row>
    <row r="8" spans="1:4" x14ac:dyDescent="0.3">
      <c r="A8" s="5">
        <v>3</v>
      </c>
      <c r="B8" s="2">
        <v>35</v>
      </c>
    </row>
    <row r="9" spans="1:4" x14ac:dyDescent="0.3">
      <c r="A9" s="5">
        <v>4</v>
      </c>
      <c r="B9" s="2">
        <v>43</v>
      </c>
    </row>
    <row r="10" spans="1:4" x14ac:dyDescent="0.3">
      <c r="A10" s="5">
        <v>5</v>
      </c>
      <c r="B10" s="2">
        <v>58</v>
      </c>
      <c r="C10" s="3"/>
    </row>
    <row r="11" spans="1:4" x14ac:dyDescent="0.3">
      <c r="A11" s="5">
        <v>6</v>
      </c>
      <c r="B11" s="2">
        <v>120</v>
      </c>
    </row>
    <row r="13" spans="1:4" x14ac:dyDescent="0.3">
      <c r="B13" s="3"/>
    </row>
    <row r="14" spans="1:4" x14ac:dyDescent="0.3">
      <c r="A14" s="6" t="s">
        <v>3</v>
      </c>
    </row>
    <row r="15" spans="1:4" x14ac:dyDescent="0.3">
      <c r="A15" t="s">
        <v>6</v>
      </c>
    </row>
    <row r="17" spans="1:8" x14ac:dyDescent="0.3">
      <c r="A17" s="4" t="s">
        <v>9</v>
      </c>
      <c r="B17" s="4" t="s">
        <v>8</v>
      </c>
      <c r="C17" s="4" t="s">
        <v>10</v>
      </c>
      <c r="D17" s="4" t="s">
        <v>11</v>
      </c>
      <c r="E17" s="4" t="s">
        <v>12</v>
      </c>
      <c r="F17" s="4" t="s">
        <v>13</v>
      </c>
      <c r="G17" s="4" t="s">
        <v>14</v>
      </c>
      <c r="H17" s="4" t="s">
        <v>15</v>
      </c>
    </row>
    <row r="18" spans="1:8" x14ac:dyDescent="0.3">
      <c r="A18" s="5">
        <v>0</v>
      </c>
      <c r="B18" s="2">
        <v>30</v>
      </c>
      <c r="C18" s="2">
        <f>15  * A18</f>
        <v>0</v>
      </c>
      <c r="D18" s="2" t="s">
        <v>7</v>
      </c>
      <c r="E18" s="2" t="s">
        <v>7</v>
      </c>
      <c r="F18" s="2" t="s">
        <v>7</v>
      </c>
      <c r="G18" s="2" t="s">
        <v>16</v>
      </c>
      <c r="H18" s="7">
        <f xml:space="preserve"> C18 - B18</f>
        <v>-30</v>
      </c>
    </row>
    <row r="19" spans="1:8" x14ac:dyDescent="0.3">
      <c r="A19" s="5">
        <v>1</v>
      </c>
      <c r="B19" s="2">
        <v>30</v>
      </c>
      <c r="C19" s="2">
        <f t="shared" ref="C19:C24" si="0">15  * A19</f>
        <v>15</v>
      </c>
      <c r="D19" s="2">
        <f t="shared" ref="D19:E24" si="1" xml:space="preserve"> 15 *(A19 + 1) - 15 * A19</f>
        <v>15</v>
      </c>
      <c r="E19" s="2">
        <f xml:space="preserve"> B19 - B18</f>
        <v>0</v>
      </c>
      <c r="F19" s="2">
        <f xml:space="preserve"> D19 - E19</f>
        <v>15</v>
      </c>
      <c r="G19" s="2" t="str">
        <f xml:space="preserve"> IF(F19&gt;0, "Aumentare", IF(F19 = 0, "Invariato", "Diminuire"))</f>
        <v>Aumentare</v>
      </c>
      <c r="H19" s="7">
        <f t="shared" ref="H19:H24" si="2" xml:space="preserve"> C19 - B19</f>
        <v>-15</v>
      </c>
    </row>
    <row r="20" spans="1:8" x14ac:dyDescent="0.3">
      <c r="A20" s="5">
        <v>2</v>
      </c>
      <c r="B20" s="2">
        <v>32</v>
      </c>
      <c r="C20" s="2">
        <f t="shared" si="0"/>
        <v>30</v>
      </c>
      <c r="D20" s="2">
        <f t="shared" si="1"/>
        <v>15</v>
      </c>
      <c r="E20" s="2">
        <f t="shared" ref="E20:E24" si="3" xml:space="preserve"> B20 - B19</f>
        <v>2</v>
      </c>
      <c r="F20" s="2">
        <f t="shared" ref="F20:F24" si="4" xml:space="preserve"> D20 - E20</f>
        <v>13</v>
      </c>
      <c r="G20" s="2" t="str">
        <f t="shared" ref="G20:G24" si="5" xml:space="preserve"> IF(F20&gt;0, "Aumentare", IF(F20 = 0, "Invariato", "Diminuire"))</f>
        <v>Aumentare</v>
      </c>
      <c r="H20" s="7">
        <f t="shared" si="2"/>
        <v>-2</v>
      </c>
    </row>
    <row r="21" spans="1:8" x14ac:dyDescent="0.3">
      <c r="A21" s="5">
        <v>3</v>
      </c>
      <c r="B21" s="2">
        <v>35</v>
      </c>
      <c r="C21" s="2">
        <f t="shared" si="0"/>
        <v>45</v>
      </c>
      <c r="D21" s="2">
        <f t="shared" si="1"/>
        <v>15</v>
      </c>
      <c r="E21" s="2">
        <f t="shared" si="3"/>
        <v>3</v>
      </c>
      <c r="F21" s="2">
        <f t="shared" si="4"/>
        <v>12</v>
      </c>
      <c r="G21" s="2" t="str">
        <f t="shared" si="5"/>
        <v>Aumentare</v>
      </c>
      <c r="H21" s="7">
        <f t="shared" si="2"/>
        <v>10</v>
      </c>
    </row>
    <row r="22" spans="1:8" x14ac:dyDescent="0.3">
      <c r="A22" s="5">
        <v>4</v>
      </c>
      <c r="B22" s="2">
        <v>43</v>
      </c>
      <c r="C22" s="2">
        <f t="shared" si="0"/>
        <v>60</v>
      </c>
      <c r="D22" s="2">
        <f t="shared" si="1"/>
        <v>15</v>
      </c>
      <c r="E22" s="2">
        <f t="shared" si="3"/>
        <v>8</v>
      </c>
      <c r="F22" s="2">
        <f t="shared" si="4"/>
        <v>7</v>
      </c>
      <c r="G22" s="2" t="str">
        <f t="shared" si="5"/>
        <v>Aumentare</v>
      </c>
      <c r="H22" s="7">
        <f t="shared" si="2"/>
        <v>17</v>
      </c>
    </row>
    <row r="23" spans="1:8" x14ac:dyDescent="0.3">
      <c r="A23" s="5">
        <v>5</v>
      </c>
      <c r="B23" s="2">
        <v>58</v>
      </c>
      <c r="C23" s="2">
        <f t="shared" si="0"/>
        <v>75</v>
      </c>
      <c r="D23" s="2">
        <f t="shared" si="1"/>
        <v>15</v>
      </c>
      <c r="E23" s="2">
        <f t="shared" si="3"/>
        <v>15</v>
      </c>
      <c r="F23" s="2">
        <f t="shared" si="4"/>
        <v>0</v>
      </c>
      <c r="G23" s="2" t="str">
        <f t="shared" si="5"/>
        <v>Invariato</v>
      </c>
      <c r="H23" s="7">
        <f t="shared" si="2"/>
        <v>17</v>
      </c>
    </row>
    <row r="24" spans="1:8" x14ac:dyDescent="0.3">
      <c r="A24" s="5">
        <v>6</v>
      </c>
      <c r="B24" s="2">
        <v>120</v>
      </c>
      <c r="C24" s="2">
        <f t="shared" si="0"/>
        <v>90</v>
      </c>
      <c r="D24" s="2">
        <f t="shared" si="1"/>
        <v>15</v>
      </c>
      <c r="E24" s="2">
        <f t="shared" si="3"/>
        <v>62</v>
      </c>
      <c r="F24" s="2">
        <f t="shared" si="4"/>
        <v>-47</v>
      </c>
      <c r="G24" s="2" t="str">
        <f t="shared" si="5"/>
        <v>Diminuire</v>
      </c>
      <c r="H24" s="7">
        <f t="shared" si="2"/>
        <v>-30</v>
      </c>
    </row>
    <row r="25" spans="1:8" x14ac:dyDescent="0.3">
      <c r="E25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napolitano</dc:creator>
  <cp:lastModifiedBy>simone napolitano</cp:lastModifiedBy>
  <dcterms:created xsi:type="dcterms:W3CDTF">2026-10-29T11:20:48Z</dcterms:created>
  <dcterms:modified xsi:type="dcterms:W3CDTF">2026-10-29T11:45:10Z</dcterms:modified>
</cp:coreProperties>
</file>