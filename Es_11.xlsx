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13_ncr:1_{7DAD8253-04C7-48EB-8F58-7F51BDEA54A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D30" i="1"/>
  <c r="E30" i="1"/>
  <c r="B31" i="1"/>
  <c r="D31" i="1"/>
  <c r="E31" i="1"/>
  <c r="B32" i="1"/>
  <c r="D32" i="1"/>
  <c r="E32" i="1"/>
  <c r="B33" i="1"/>
  <c r="D33" i="1"/>
  <c r="E33" i="1"/>
  <c r="B34" i="1"/>
  <c r="D34" i="1"/>
  <c r="E34" i="1"/>
  <c r="B35" i="1"/>
  <c r="D35" i="1"/>
  <c r="E35" i="1"/>
  <c r="B36" i="1"/>
  <c r="D36" i="1"/>
  <c r="E36" i="1"/>
  <c r="B37" i="1"/>
  <c r="D37" i="1"/>
  <c r="E37" i="1"/>
  <c r="B38" i="1"/>
  <c r="D38" i="1"/>
  <c r="E38" i="1"/>
  <c r="B39" i="1"/>
  <c r="D39" i="1"/>
  <c r="E39" i="1"/>
  <c r="E24" i="1"/>
  <c r="D24" i="1"/>
  <c r="C24" i="1"/>
  <c r="B24" i="1"/>
</calcChain>
</file>

<file path=xl/sharedStrings.xml><?xml version="1.0" encoding="utf-8"?>
<sst xmlns="http://schemas.openxmlformats.org/spreadsheetml/2006/main" count="35" uniqueCount="24">
  <si>
    <t>DATI</t>
  </si>
  <si>
    <t>p = 30 - (1/2)q</t>
  </si>
  <si>
    <t>p = 30 - 6q</t>
  </si>
  <si>
    <t>p = 30 - 2q</t>
  </si>
  <si>
    <t>SVOLGIMENTO</t>
  </si>
  <si>
    <t>Curva di domanda 1</t>
  </si>
  <si>
    <t>Curva di domanda 2</t>
  </si>
  <si>
    <t>Curva di domanda 3</t>
  </si>
  <si>
    <t>Esplicitiamo prima q in ogni curva:</t>
  </si>
  <si>
    <t>&gt;</t>
  </si>
  <si>
    <t>q = 60 - 2p</t>
  </si>
  <si>
    <t>q = 5 - p/6</t>
  </si>
  <si>
    <t>q = 15 - p/2</t>
  </si>
  <si>
    <t>Adesso sommiamo le quantità per aggregazione della domanda</t>
  </si>
  <si>
    <t>q = (60 - 2p) + (5 - p/6) + (15 - p/2)</t>
  </si>
  <si>
    <t>q = 80 - (8/3)p</t>
  </si>
  <si>
    <t>Da cui ricaviamo p</t>
  </si>
  <si>
    <t>p = 30 - (3/8)q</t>
  </si>
  <si>
    <t>GRAFICO</t>
  </si>
  <si>
    <t>Quantità</t>
  </si>
  <si>
    <t>Prezzo 1</t>
  </si>
  <si>
    <t>Prezzo 2</t>
  </si>
  <si>
    <t>Prezzo 3</t>
  </si>
  <si>
    <t>Prezzo mercato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</si>
</sst>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lt1"/>
                </a:solidFill>
                <a:latin typeface="+mn-lt"/>
                <a:ea typeface="+mn-ea"/>
                <a:cs typeface="+mn-cs"/>
              </a:rPr>
              <a:t>Domanda di</a:t>
            </a:r>
            <a:r>
              <a:rPr lang="it-IT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Mercato</a:t>
            </a:r>
            <a:endParaRPr lang="it-IT"/>
          </a:p>
        </c:rich>
      </c:tx>
      <c:overlay val="0"/>
      <c:spPr>
        <a:solidFill>
          <a:schemeClr val="accent6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Curva di domanda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Foglio1!$A$24:$A$39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Foglio1!$B$24:$B$39</c:f>
              <c:numCache>
                <c:formatCode>General</c:formatCode>
                <c:ptCount val="16"/>
                <c:pt idx="0">
                  <c:v>30</c:v>
                </c:pt>
                <c:pt idx="1">
                  <c:v>29.5</c:v>
                </c:pt>
                <c:pt idx="2">
                  <c:v>29</c:v>
                </c:pt>
                <c:pt idx="3">
                  <c:v>28.5</c:v>
                </c:pt>
                <c:pt idx="4">
                  <c:v>28</c:v>
                </c:pt>
                <c:pt idx="5">
                  <c:v>27.5</c:v>
                </c:pt>
                <c:pt idx="6">
                  <c:v>27</c:v>
                </c:pt>
                <c:pt idx="7">
                  <c:v>26.5</c:v>
                </c:pt>
                <c:pt idx="8">
                  <c:v>26</c:v>
                </c:pt>
                <c:pt idx="9">
                  <c:v>25.5</c:v>
                </c:pt>
                <c:pt idx="10">
                  <c:v>25</c:v>
                </c:pt>
                <c:pt idx="11">
                  <c:v>24.5</c:v>
                </c:pt>
                <c:pt idx="12">
                  <c:v>24</c:v>
                </c:pt>
                <c:pt idx="13">
                  <c:v>23.5</c:v>
                </c:pt>
                <c:pt idx="14">
                  <c:v>23</c:v>
                </c:pt>
                <c:pt idx="15">
                  <c:v>22.5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7-476A-99F1-28C4509F3A10}"/>
            </c:ext>
          </c:extLst>
        </c:ser>
        <c:ser>
          <c:idx val="1"/>
          <c:order val="1"/>
          <c:tx>
            <c:v>Curva di domanda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Foglio1!$A$24:$A$39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Foglio1!$C$24:$C$29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87-476A-99F1-28C4509F3A10}"/>
            </c:ext>
          </c:extLst>
        </c:ser>
        <c:ser>
          <c:idx val="2"/>
          <c:order val="2"/>
          <c:tx>
            <c:v>Curva di domanda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Foglio1!$A$24:$A$39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Foglio1!$D$24:$D$39</c:f>
              <c:numCache>
                <c:formatCode>General</c:formatCode>
                <c:ptCount val="16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20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87-476A-99F1-28C4509F3A10}"/>
            </c:ext>
          </c:extLst>
        </c:ser>
        <c:ser>
          <c:idx val="3"/>
          <c:order val="3"/>
          <c:tx>
            <c:v>Curva di domanda mercato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Foglio1!$A$24:$A$39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Foglio1!$E$24:$E$39</c:f>
              <c:numCache>
                <c:formatCode>General</c:formatCode>
                <c:ptCount val="16"/>
                <c:pt idx="0">
                  <c:v>30</c:v>
                </c:pt>
                <c:pt idx="1">
                  <c:v>29.625</c:v>
                </c:pt>
                <c:pt idx="2">
                  <c:v>29.25</c:v>
                </c:pt>
                <c:pt idx="3">
                  <c:v>28.875</c:v>
                </c:pt>
                <c:pt idx="4">
                  <c:v>28.5</c:v>
                </c:pt>
                <c:pt idx="5">
                  <c:v>28.125</c:v>
                </c:pt>
                <c:pt idx="6">
                  <c:v>27.75</c:v>
                </c:pt>
                <c:pt idx="7">
                  <c:v>27.375</c:v>
                </c:pt>
                <c:pt idx="8">
                  <c:v>27</c:v>
                </c:pt>
                <c:pt idx="9">
                  <c:v>26.625</c:v>
                </c:pt>
                <c:pt idx="10">
                  <c:v>26.25</c:v>
                </c:pt>
                <c:pt idx="11">
                  <c:v>25.875</c:v>
                </c:pt>
                <c:pt idx="12">
                  <c:v>25.5</c:v>
                </c:pt>
                <c:pt idx="13">
                  <c:v>25.125</c:v>
                </c:pt>
                <c:pt idx="14">
                  <c:v>24.75</c:v>
                </c:pt>
                <c:pt idx="15">
                  <c:v>24.375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87-476A-99F1-28C4509F3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74863"/>
        <c:axId val="162845327"/>
      </c:scatterChart>
      <c:valAx>
        <c:axId val="16037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845327"/>
        <c:crosses val="autoZero"/>
        <c:crossBetween val="midCat"/>
      </c:valAx>
      <c:valAx>
        <c:axId val="1628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3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17</xdr:row>
      <xdr:rowOff>185737</xdr:rowOff>
    </xdr:from>
    <xdr:to>
      <xdr:col>23</xdr:col>
      <xdr:colOff>9525</xdr:colOff>
      <xdr:row>38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6809269-44D9-5DFB-9FEE-EA20145B5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74" workbookViewId="0"/>
  </sheetViews>
  <sheetFormatPr defaultRowHeight="14.4" x14ac:dyDescent="0.3"/>
  <cols>
    <col min="1" max="1" width="18.33203125" bestFit="1" customWidth="1"/>
    <col min="2" max="2" width="12.5546875" customWidth="1"/>
    <col min="3" max="3" width="13.109375" bestFit="1" customWidth="1"/>
    <col min="5" max="5" width="14.6640625" bestFit="1" customWidth="1"/>
  </cols>
  <sheetData>
    <row r="1" spans="1:4" x14ac:dyDescent="0.3">
      <c r="A1" s="1" t="s">
        <v>0</v>
      </c>
    </row>
    <row r="2" spans="1:4" x14ac:dyDescent="0.3">
      <c r="A2" s="2" t="s">
        <v>5</v>
      </c>
      <c r="B2" s="4" t="s">
        <v>9</v>
      </c>
      <c r="C2" s="3" t="s">
        <v>1</v>
      </c>
    </row>
    <row r="3" spans="1:4" x14ac:dyDescent="0.3">
      <c r="A3" s="2" t="s">
        <v>6</v>
      </c>
      <c r="B3" s="4" t="s">
        <v>9</v>
      </c>
      <c r="C3" s="3" t="s">
        <v>2</v>
      </c>
    </row>
    <row r="4" spans="1:4" x14ac:dyDescent="0.3">
      <c r="A4" s="2" t="s">
        <v>7</v>
      </c>
      <c r="B4" s="4" t="s">
        <v>9</v>
      </c>
      <c r="C4" s="3" t="s">
        <v>3</v>
      </c>
    </row>
    <row r="6" spans="1:4" x14ac:dyDescent="0.3">
      <c r="A6" s="1" t="s">
        <v>4</v>
      </c>
    </row>
    <row r="7" spans="1:4" x14ac:dyDescent="0.3">
      <c r="A7" t="s">
        <v>8</v>
      </c>
    </row>
    <row r="9" spans="1:4" x14ac:dyDescent="0.3">
      <c r="A9" t="s">
        <v>1</v>
      </c>
      <c r="B9" s="4" t="s">
        <v>9</v>
      </c>
      <c r="C9" t="s">
        <v>10</v>
      </c>
    </row>
    <row r="10" spans="1:4" x14ac:dyDescent="0.3">
      <c r="A10" t="s">
        <v>2</v>
      </c>
      <c r="B10" s="4" t="s">
        <v>9</v>
      </c>
      <c r="C10" t="s">
        <v>11</v>
      </c>
    </row>
    <row r="11" spans="1:4" x14ac:dyDescent="0.3">
      <c r="A11" t="s">
        <v>3</v>
      </c>
      <c r="B11" s="4" t="s">
        <v>9</v>
      </c>
      <c r="C11" t="s">
        <v>12</v>
      </c>
    </row>
    <row r="13" spans="1:4" x14ac:dyDescent="0.3">
      <c r="A13" t="s">
        <v>13</v>
      </c>
    </row>
    <row r="15" spans="1:4" x14ac:dyDescent="0.3">
      <c r="A15" t="s">
        <v>14</v>
      </c>
      <c r="C15" s="4" t="s">
        <v>9</v>
      </c>
      <c r="D15" t="s">
        <v>15</v>
      </c>
    </row>
    <row r="17" spans="1:5" x14ac:dyDescent="0.3">
      <c r="A17" t="s">
        <v>16</v>
      </c>
    </row>
    <row r="19" spans="1:5" x14ac:dyDescent="0.3">
      <c r="A19" t="s">
        <v>15</v>
      </c>
      <c r="B19" s="4" t="s">
        <v>9</v>
      </c>
      <c r="C19" t="s">
        <v>17</v>
      </c>
    </row>
    <row r="21" spans="1:5" x14ac:dyDescent="0.3">
      <c r="A21" s="5" t="s">
        <v>18</v>
      </c>
    </row>
    <row r="23" spans="1:5" x14ac:dyDescent="0.3">
      <c r="A23" s="6" t="s">
        <v>19</v>
      </c>
      <c r="B23" s="6" t="s">
        <v>20</v>
      </c>
      <c r="C23" s="6" t="s">
        <v>21</v>
      </c>
      <c r="D23" s="6" t="s">
        <v>22</v>
      </c>
      <c r="E23" s="6" t="s">
        <v>23</v>
      </c>
    </row>
    <row r="24" spans="1:5" x14ac:dyDescent="0.3">
      <c r="A24" s="7">
        <v>0</v>
      </c>
      <c r="B24" s="7">
        <f xml:space="preserve"> 30 - (1/2) * A24</f>
        <v>30</v>
      </c>
      <c r="C24" s="7">
        <f xml:space="preserve"> 30 - 6 * A24</f>
        <v>30</v>
      </c>
      <c r="D24" s="7">
        <f xml:space="preserve"> 30 - 2 *A24</f>
        <v>30</v>
      </c>
      <c r="E24" s="7">
        <f xml:space="preserve"> 30 - (3/8) * A24</f>
        <v>30</v>
      </c>
    </row>
    <row r="25" spans="1:5" x14ac:dyDescent="0.3">
      <c r="A25" s="7">
        <v>1</v>
      </c>
      <c r="B25" s="7">
        <f t="shared" ref="B25:B39" si="0" xml:space="preserve"> 30 - (1/2) * A25</f>
        <v>29.5</v>
      </c>
      <c r="C25" s="7">
        <f t="shared" ref="C25:C29" si="1" xml:space="preserve"> 30 - 6 * A25</f>
        <v>24</v>
      </c>
      <c r="D25" s="7">
        <f t="shared" ref="D25:D39" si="2" xml:space="preserve"> 30 - 2 *A25</f>
        <v>28</v>
      </c>
      <c r="E25" s="7">
        <f t="shared" ref="E25:E39" si="3" xml:space="preserve"> 30 - (3/8) * A25</f>
        <v>29.625</v>
      </c>
    </row>
    <row r="26" spans="1:5" x14ac:dyDescent="0.3">
      <c r="A26" s="7">
        <v>2</v>
      </c>
      <c r="B26" s="7">
        <f t="shared" si="0"/>
        <v>29</v>
      </c>
      <c r="C26" s="7">
        <f t="shared" si="1"/>
        <v>18</v>
      </c>
      <c r="D26" s="7">
        <f t="shared" si="2"/>
        <v>26</v>
      </c>
      <c r="E26" s="7">
        <f t="shared" si="3"/>
        <v>29.25</v>
      </c>
    </row>
    <row r="27" spans="1:5" x14ac:dyDescent="0.3">
      <c r="A27" s="7">
        <v>3</v>
      </c>
      <c r="B27" s="7">
        <f t="shared" si="0"/>
        <v>28.5</v>
      </c>
      <c r="C27" s="7">
        <f t="shared" si="1"/>
        <v>12</v>
      </c>
      <c r="D27" s="7">
        <f t="shared" si="2"/>
        <v>24</v>
      </c>
      <c r="E27" s="7">
        <f t="shared" si="3"/>
        <v>28.875</v>
      </c>
    </row>
    <row r="28" spans="1:5" x14ac:dyDescent="0.3">
      <c r="A28" s="7">
        <v>4</v>
      </c>
      <c r="B28" s="7">
        <f t="shared" si="0"/>
        <v>28</v>
      </c>
      <c r="C28" s="7">
        <f t="shared" si="1"/>
        <v>6</v>
      </c>
      <c r="D28" s="7">
        <f t="shared" si="2"/>
        <v>22</v>
      </c>
      <c r="E28" s="7">
        <f t="shared" si="3"/>
        <v>28.5</v>
      </c>
    </row>
    <row r="29" spans="1:5" x14ac:dyDescent="0.3">
      <c r="A29" s="7">
        <v>5</v>
      </c>
      <c r="B29" s="7">
        <f t="shared" si="0"/>
        <v>27.5</v>
      </c>
      <c r="C29" s="7">
        <f t="shared" si="1"/>
        <v>0</v>
      </c>
      <c r="D29" s="7">
        <f t="shared" si="2"/>
        <v>20</v>
      </c>
      <c r="E29" s="7">
        <f t="shared" si="3"/>
        <v>28.125</v>
      </c>
    </row>
    <row r="30" spans="1:5" x14ac:dyDescent="0.3">
      <c r="A30" s="7">
        <v>6</v>
      </c>
      <c r="B30" s="7">
        <f t="shared" si="0"/>
        <v>27</v>
      </c>
      <c r="C30" s="7"/>
      <c r="D30" s="7">
        <f t="shared" si="2"/>
        <v>18</v>
      </c>
      <c r="E30" s="7">
        <f t="shared" si="3"/>
        <v>27.75</v>
      </c>
    </row>
    <row r="31" spans="1:5" x14ac:dyDescent="0.3">
      <c r="A31" s="7">
        <v>7</v>
      </c>
      <c r="B31" s="7">
        <f t="shared" si="0"/>
        <v>26.5</v>
      </c>
      <c r="C31" s="7"/>
      <c r="D31" s="7">
        <f t="shared" si="2"/>
        <v>16</v>
      </c>
      <c r="E31" s="7">
        <f t="shared" si="3"/>
        <v>27.375</v>
      </c>
    </row>
    <row r="32" spans="1:5" x14ac:dyDescent="0.3">
      <c r="A32" s="7">
        <v>8</v>
      </c>
      <c r="B32" s="7">
        <f t="shared" si="0"/>
        <v>26</v>
      </c>
      <c r="C32" s="7"/>
      <c r="D32" s="7">
        <f t="shared" si="2"/>
        <v>14</v>
      </c>
      <c r="E32" s="7">
        <f t="shared" si="3"/>
        <v>27</v>
      </c>
    </row>
    <row r="33" spans="1:5" x14ac:dyDescent="0.3">
      <c r="A33" s="7">
        <v>9</v>
      </c>
      <c r="B33" s="7">
        <f t="shared" si="0"/>
        <v>25.5</v>
      </c>
      <c r="C33" s="7"/>
      <c r="D33" s="7">
        <f t="shared" si="2"/>
        <v>12</v>
      </c>
      <c r="E33" s="7">
        <f t="shared" si="3"/>
        <v>26.625</v>
      </c>
    </row>
    <row r="34" spans="1:5" x14ac:dyDescent="0.3">
      <c r="A34" s="7">
        <v>10</v>
      </c>
      <c r="B34" s="7">
        <f t="shared" si="0"/>
        <v>25</v>
      </c>
      <c r="C34" s="7"/>
      <c r="D34" s="7">
        <f t="shared" si="2"/>
        <v>10</v>
      </c>
      <c r="E34" s="7">
        <f t="shared" si="3"/>
        <v>26.25</v>
      </c>
    </row>
    <row r="35" spans="1:5" x14ac:dyDescent="0.3">
      <c r="A35" s="7">
        <v>11</v>
      </c>
      <c r="B35" s="7">
        <f t="shared" si="0"/>
        <v>24.5</v>
      </c>
      <c r="C35" s="7"/>
      <c r="D35" s="7">
        <f t="shared" si="2"/>
        <v>8</v>
      </c>
      <c r="E35" s="7">
        <f t="shared" si="3"/>
        <v>25.875</v>
      </c>
    </row>
    <row r="36" spans="1:5" x14ac:dyDescent="0.3">
      <c r="A36" s="7">
        <v>12</v>
      </c>
      <c r="B36" s="7">
        <f t="shared" si="0"/>
        <v>24</v>
      </c>
      <c r="C36" s="7"/>
      <c r="D36" s="7">
        <f t="shared" si="2"/>
        <v>6</v>
      </c>
      <c r="E36" s="7">
        <f t="shared" si="3"/>
        <v>25.5</v>
      </c>
    </row>
    <row r="37" spans="1:5" x14ac:dyDescent="0.3">
      <c r="A37" s="7">
        <v>13</v>
      </c>
      <c r="B37" s="7">
        <f t="shared" si="0"/>
        <v>23.5</v>
      </c>
      <c r="C37" s="7"/>
      <c r="D37" s="7">
        <f t="shared" si="2"/>
        <v>4</v>
      </c>
      <c r="E37" s="7">
        <f t="shared" si="3"/>
        <v>25.125</v>
      </c>
    </row>
    <row r="38" spans="1:5" x14ac:dyDescent="0.3">
      <c r="A38" s="7">
        <v>14</v>
      </c>
      <c r="B38" s="7">
        <f t="shared" si="0"/>
        <v>23</v>
      </c>
      <c r="C38" s="7"/>
      <c r="D38" s="7">
        <f t="shared" si="2"/>
        <v>2</v>
      </c>
      <c r="E38" s="7">
        <f t="shared" si="3"/>
        <v>24.75</v>
      </c>
    </row>
    <row r="39" spans="1:5" x14ac:dyDescent="0.3">
      <c r="A39" s="7">
        <v>15</v>
      </c>
      <c r="B39" s="7">
        <f t="shared" si="0"/>
        <v>22.5</v>
      </c>
      <c r="C39" s="7"/>
      <c r="D39" s="7">
        <f t="shared" si="2"/>
        <v>0</v>
      </c>
      <c r="E39" s="7">
        <f t="shared" si="3"/>
        <v>24.375</v>
      </c>
    </row>
    <row r="40" spans="1:5" x14ac:dyDescent="0.3">
      <c r="A40" s="4"/>
      <c r="B40" s="4"/>
    </row>
    <row r="41" spans="1:5" x14ac:dyDescent="0.3">
      <c r="A41" s="4"/>
      <c r="B41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student733</dc:creator>
  <cp:lastModifiedBy>simone napolitano</cp:lastModifiedBy>
  <dcterms:created xsi:type="dcterms:W3CDTF">2026-10-15T11:35:08Z</dcterms:created>
  <dcterms:modified xsi:type="dcterms:W3CDTF">2026-10-22T10:42:33Z</dcterms:modified>
</cp:coreProperties>
</file>